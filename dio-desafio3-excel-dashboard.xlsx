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ght\Downloads\Desafio_3\"/>
    </mc:Choice>
  </mc:AlternateContent>
  <xr:revisionPtr revIDLastSave="0" documentId="13_ncr:1_{A4B485AA-D6A0-49AE-BC9A-CE56AB1D78D5}" xr6:coauthVersionLast="47" xr6:coauthVersionMax="47" xr10:uidLastSave="{00000000-0000-0000-0000-000000000000}"/>
  <bookViews>
    <workbookView xWindow="-120" yWindow="-120" windowWidth="20730" windowHeight="111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<sst xmlns="http://schemas.openxmlformats.org/spreadsheetml/2006/main" count="2025" uniqueCount="327">
  <si>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</si>
  <si>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</si>
  <si>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</si>
  <si>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</si>
  <si>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</si>
  <si>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</si>
  <si>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</si>
  <si>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</si>
  <si>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</si>
  <si>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</si>
  <si>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</si>
  <si>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</si>
  <si>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</si>
  <si>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</si>
  <si>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</si>
  <si>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</si>
  <si>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</si>
  <si>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</si>
  <si>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</si>
  <si>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</si>
  <si>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</si>
  <si>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</si>
  <si>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</si>
  <si>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</si>
  <si>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</si>
  <si>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</si>
  <si>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</si>
  <si>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</si>
  <si>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</si>
  <si>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</si>
  <si>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</si>
  <si>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</si>
  <si>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</si>
  <si>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</si>
  <si>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</si>
  <si>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</si>
  <si>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</si>
  <si>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</si>
  <si>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</si>
  <si>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</si>
  <si>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</si>
  <si>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</si>
  <si>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</si>
  <si>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</si>
  <si>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</si>
  <si>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</si>
  <si>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</si>
  <si>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</si>
  <si>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</si>
  <si>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</si>
  <si>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</si>
  <si>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</si>
  <si>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</si>
  <si>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</si>
  <si>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</si>
  <si>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</si>
  <si>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</si>
  <si>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</si>
  <si>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</si>
  <si>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</si>
  <si>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</si>
  <si>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</si>
  <si>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</si>
  <si>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</si>
  <si>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</si>
  <si>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</si>
  <si>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</si>
  <si>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</si>
  <si>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</si>
  <si>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</si>
  <si>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</si>
  <si>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</si>
  <si>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</si>
  <si>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</si>
  <si>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</si>
  <si>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</si>
  <si>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</si>
  <si>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</si>
  <si>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</si>
  <si>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</si>
  <si>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</si>
  <si>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</si>
  <si>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</si>
  <si>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</si>
  <si>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</si>
  <si>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</si>
  <si>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</si>
  <si>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</si>
  <si>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</si>
  <si>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</si>
  <si>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</si>
  <si>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</si>
  <si>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</si>
  <si>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</si>
  <si>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</si>
  <si>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</si>
  <si>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</si>
  <si>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</si>
  <si>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</si>
  <si>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</si>
  <si>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</si>
  <si>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</si>
  <si>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</si>
  <si>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</si>
  <si>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</si>
  <si>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</si>
  <si>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</si>
  <si>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</si>
  <si>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</si>
  <si>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</si>
  <si>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</si>
  <si>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</si>
  <si>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</si>
  <si>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</si>
  <si>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</si>
  <si>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</si>
  <si>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</si>
  <si>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</si>
  <si>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</si>
  <si>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</si>
  <si>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</si>
  <si>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</si>
  <si>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</si>
  <si>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</si>
  <si>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</si>
  <si>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</si>
  <si>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</si>
  <si>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</si>
  <si>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</si>
  <si>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</si>
  <si>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</si>
  <si>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</si>
  <si>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</si>
  <si>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</si>
  <si>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</si>
  <si>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</si>
  <si>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</si>
  <si>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</si>
  <si>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</si>
  <si>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</si>
  <si>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</si>
  <si>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</si>
  <si>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</si>
  <si>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</si>
  <si>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</si>
  <si>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</si>
  <si>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</si>
  <si>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</si>
  <si>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</si>
  <si>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</si>
  <si>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</si>
  <si>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</si>
  <si>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</si>
  <si>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</si>
  <si>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</si>
  <si>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</si>
  <si>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</si>
  <si>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</si>
  <si>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</si>
  <si>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</si>
  <si>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</si>
  <si>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</si>
  <si>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</si>
  <si>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</si>
  <si>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</si>
  <si>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</si>
  <si>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</si>
  <si>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</si>
  <si>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</si>
  <si>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</si>
  <si>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</si>
  <si>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</si>
  <si>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</si>
  <si>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</si>
  <si>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</si>
  <si>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</si>
  <si>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</si>
  <si>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</si>
  <si>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</si>
  <si>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</si>
  <si>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</si>
  <si>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</si>
  <si>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</si>
  <si>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</si>
  <si>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</si>
  <si>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</si>
  <si>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</si>
  <si>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</si>
  <si>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</si>
  <si>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</si>
  <si>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</si>
  <si>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</si>
  <si>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</si>
  <si>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</si>
  <si>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</si>
  <si>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</si>
  <si>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</si>
  <si>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</si>
  <si>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</si>
  <si>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</si>
  <si>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</si>
  <si>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</si>
  <si>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</si>
  <si>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</si>
  <si>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</si>
  <si>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</si>
  <si>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</si>
  <si>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</si>
  <si>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</si>
  <si>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</si>
  <si>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</si>
  <si>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</si>
  <si>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</si>
  <si>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</si>
  <si>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</si>
  <si>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</si>
  <si>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</si>
  <si>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</si>
  <si>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</si>
  <si>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</si>
  <si>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</si>
  <si>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</si>
  <si>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</si>
  <si>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</si>
  <si>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</si>
  <si>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</si>
  <si>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</si>
  <si>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</si>
  <si>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</si>
  <si>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</si>
  <si>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</si>
  <si>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</si>
  <si>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</si>
  <si>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</si>
  <si>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</si>
  <si>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</si>
  <si>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</si>
  <si>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</si>
  <si>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</si>
  <si>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</si>
  <si>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</si>
  <si>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</si>
  <si>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</si>
  <si>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</si>
  <si>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</si>
  <si>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</si>
  <si>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</si>
  <si>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</si>
  <si>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</si>
  <si>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</si>
  <si>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</si>
  <si>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</si>
  <si>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</si>
  <si>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</si>
  <si>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</si>
  <si>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</si>
  <si>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</si>
  <si>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</si>
  <si>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</si>
  <si>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</si>
  <si>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</si>
  <si>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</si>
  <si>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</si>
  <si>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</si>
  <si>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</si>
  <si>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</si>
  <si>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</si>
  <si>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</si>
  <si>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</si>
  <si>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</si>
  <si>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</si>
  <si>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</si>
  <si>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</si>
  <si>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</si>
  <si>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</si>
  <si>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</si>
  <si>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</si>
  <si>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</si>
  <si>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</si>
  <si>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</si>
  <si>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</si>
  <si>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</si>
  <si>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</si>
  <si>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</si>
  <si>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</si>
  <si>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</si>
  <si>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</si>
  <si>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</si>
  <si>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</si>
  <si>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</si>
  <si>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</si>
  <si>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</si>
  <si>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</si>
  <si>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</si>
  <si>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</si>
  <si>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</si>
  <si>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</si>
  <si>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</si>
  <si>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</si>
  <si>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</si>
  <si>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</si>
  <si>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</si>
  <si>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</si>
  <si>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</si>
  <si>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</si>
  <si>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</si>
  <si>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</si>
  <si>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</si>
  <si>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</si>
  <si>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</si>
  <si>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</si>
  <si>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</si>
  <si>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</si>
  <si>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 xml:space="preserve"> </t>
  </si>
  <si>
    <r>
      <t xml:space="preserve">Pergunta de Negocio 1: Qual o Faturamento </t>
    </r>
    <r>
      <rPr>
        <b/>
        <sz val="11"/>
        <color theme="1"/>
        <rFont val="Aptos Narrow"/>
        <scheme val="minor"/>
      </rPr>
      <t>Total de vendas de Planos anuais</t>
    </r>
    <r>
      <rPr>
        <sz val="11"/>
        <color theme="1"/>
        <rFont val="Aptos Narrow"/>
        <family val="2"/>
        <scheme val="minor"/>
      </rPr>
      <t xml:space="preserve"> [Contendo todas as assinaturas agregadas]</t>
    </r>
  </si>
  <si>
    <t>Rótulos de Linha</t>
  </si>
  <si>
    <t>Total Geral</t>
  </si>
  <si>
    <t>Soma de Total Value</t>
  </si>
  <si>
    <t>É uma pergunta de negócio respodida através de alguma análise de dado especifica, transformando dados em informação.</t>
  </si>
  <si>
    <t>XBOX GAME PASS SUBSCRIPTIONS SALES</t>
  </si>
  <si>
    <r>
      <t xml:space="preserve">Pergunta de Negocio 2: Qual o Faturamento </t>
    </r>
    <r>
      <rPr>
        <b/>
        <sz val="11"/>
        <color theme="1"/>
        <rFont val="Aptos Narrow"/>
        <scheme val="minor"/>
      </rPr>
      <t>Total de vendas de Planos anuais</t>
    </r>
    <r>
      <rPr>
        <sz val="11"/>
        <color theme="1"/>
        <rFont val="Aptos Narrow"/>
        <family val="2"/>
        <scheme val="minor"/>
      </rPr>
      <t xml:space="preserve"> [Separado por Auto Renovação(Sim e Não)]</t>
    </r>
  </si>
  <si>
    <t>Soma de EA Play Season Pass</t>
  </si>
  <si>
    <t>Pergunta de Negocio 3: Total de Vendas de Assinaturas do EA Play Season Pass</t>
  </si>
  <si>
    <t>Pergunta de Negocio 4: Total de Vendas de Assinaturas do Minecraft Season Pass</t>
  </si>
  <si>
    <t>Soma de Minecraft Season Pass Price</t>
  </si>
  <si>
    <t>Welcome</t>
  </si>
  <si>
    <t>Calculation period: 01/01/2024 a 31/12/2024 | Last Update: 12/02/2026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</si>
</sst>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9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8"/>
      <color rgb="FF22C55E"/>
      <name val="Aptos Narrow"/>
      <family val="2"/>
      <scheme val="minor"/>
    </font>
    <font>
      <b/>
      <sz val="16"/>
      <color theme="0"/>
      <name val="Aptos Narrow"/>
      <scheme val="minor"/>
    </font>
    <font>
      <b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9" borderId="0" xfId="0" applyFill="1"/>
    <xf numFmtId="164" fontId="0" fillId="0" borderId="0" xfId="0" applyNumberFormat="1"/>
    <xf numFmtId="0" fontId="0" fillId="0" borderId="2" xfId="0" applyBorder="1"/>
    <xf numFmtId="0" fontId="7" fillId="5" borderId="0" xfId="0" applyFont="1" applyFill="1" applyAlignment="1">
      <alignment horizontal="center" vertical="center"/>
    </xf>
    <xf numFmtId="0" fontId="0" fillId="0" borderId="0" xfId="0" applyBorder="1"/>
    <xf numFmtId="0" fontId="8" fillId="7" borderId="0" xfId="0" applyFont="1" applyFill="1"/>
    <xf numFmtId="0" fontId="4" fillId="8" borderId="0" xfId="3" applyAlignment="1">
      <alignment horizontal="center"/>
    </xf>
    <xf numFmtId="0" fontId="6" fillId="0" borderId="2" xfId="1" applyFont="1" applyBorder="1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0"/>
        <name val="Segoe UI"/>
        <family val="2"/>
        <scheme val="none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DEA80810-D399-4051-901A-01890D3194D7}">
      <tableStyleElement type="wholeTable" dxfId="15"/>
      <tableStyleElement type="headerRow" dxfId="14"/>
    </tableStyle>
  </tableStyles>
  <colors>
    <mruColors>
      <color rgb="FF5BF6A8"/>
      <color rgb="FF2AE6B1"/>
      <color rgb="FF22C55E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[dio-desafio3-excel-dashboard.xlsx]C̳álculos!Tabela dinâmica1</c:name>
    <c:fmtId val="2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7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7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General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13-4C5B-A417-F065C991C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783568"/>
        <c:axId val="176785648"/>
      </c:barChart>
      <c:catAx>
        <c:axId val="176783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785648"/>
        <c:crosses val="autoZero"/>
        <c:auto val="1"/>
        <c:lblAlgn val="ctr"/>
        <c:lblOffset val="100"/>
        <c:noMultiLvlLbl val="0"/>
      </c:catAx>
      <c:valAx>
        <c:axId val="1767856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678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10</xdr:col>
      <xdr:colOff>304800</xdr:colOff>
      <xdr:row>6</xdr:row>
      <xdr:rowOff>104775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104775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273842</xdr:colOff>
      <xdr:row>0</xdr:row>
      <xdr:rowOff>171450</xdr:rowOff>
    </xdr:from>
    <xdr:to>
      <xdr:col>2</xdr:col>
      <xdr:colOff>190500</xdr:colOff>
      <xdr:row>2</xdr:row>
      <xdr:rowOff>210741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752ADD7-E09B-4EFA-8CCA-634DEE123A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25" t="15881" r="71209" b="18149"/>
        <a:stretch/>
      </xdr:blipFill>
      <xdr:spPr>
        <a:xfrm>
          <a:off x="2488405" y="171450"/>
          <a:ext cx="797720" cy="717947"/>
        </a:xfrm>
        <a:prstGeom prst="rect">
          <a:avLst/>
        </a:prstGeom>
      </xdr:spPr>
    </xdr:pic>
    <xdr:clientData/>
  </xdr:twoCellAnchor>
  <xdr:twoCellAnchor editAs="absolute">
    <xdr:from>
      <xdr:col>0</xdr:col>
      <xdr:colOff>119062</xdr:colOff>
      <xdr:row>6</xdr:row>
      <xdr:rowOff>107157</xdr:rowOff>
    </xdr:from>
    <xdr:to>
      <xdr:col>0</xdr:col>
      <xdr:colOff>2095499</xdr:colOff>
      <xdr:row>20</xdr:row>
      <xdr:rowOff>71436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44D59BFE-D35A-4980-9E17-0DC484F79B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62" y="1687186"/>
              <a:ext cx="1976437" cy="27097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0</xdr:col>
      <xdr:colOff>622696</xdr:colOff>
      <xdr:row>1</xdr:row>
      <xdr:rowOff>47624</xdr:rowOff>
    </xdr:from>
    <xdr:to>
      <xdr:col>0</xdr:col>
      <xdr:colOff>1591865</xdr:colOff>
      <xdr:row>2</xdr:row>
      <xdr:rowOff>392906</xdr:rowOff>
    </xdr:to>
    <xdr:sp macro="" textlink="">
      <xdr:nvSpPr>
        <xdr:cNvPr id="40" name="Elipse 39">
          <a:extLst>
            <a:ext uri="{FF2B5EF4-FFF2-40B4-BE49-F238E27FC236}">
              <a16:creationId xmlns:a16="http://schemas.microsoft.com/office/drawing/2014/main" id="{5959EE55-D83A-4E34-9359-21A25DA946A0}"/>
            </a:ext>
          </a:extLst>
        </xdr:cNvPr>
        <xdr:cNvSpPr/>
      </xdr:nvSpPr>
      <xdr:spPr>
        <a:xfrm>
          <a:off x="622696" y="226218"/>
          <a:ext cx="969169" cy="845344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</xdr:col>
      <xdr:colOff>275412</xdr:colOff>
      <xdr:row>17</xdr:row>
      <xdr:rowOff>36593</xdr:rowOff>
    </xdr:from>
    <xdr:to>
      <xdr:col>18</xdr:col>
      <xdr:colOff>1113</xdr:colOff>
      <xdr:row>37</xdr:row>
      <xdr:rowOff>12781</xdr:rowOff>
    </xdr:to>
    <xdr:grpSp>
      <xdr:nvGrpSpPr>
        <xdr:cNvPr id="51" name="Agrupar 50">
          <a:extLst>
            <a:ext uri="{FF2B5EF4-FFF2-40B4-BE49-F238E27FC236}">
              <a16:creationId xmlns:a16="http://schemas.microsoft.com/office/drawing/2014/main" id="{96B370A2-010D-4AA5-9008-AE0E3EDBC3C9}"/>
            </a:ext>
          </a:extLst>
        </xdr:cNvPr>
        <xdr:cNvGrpSpPr/>
      </xdr:nvGrpSpPr>
      <xdr:grpSpPr>
        <a:xfrm>
          <a:off x="2482971" y="3824181"/>
          <a:ext cx="10584201" cy="3562071"/>
          <a:chOff x="2482971" y="4059507"/>
          <a:chExt cx="10584201" cy="3562071"/>
        </a:xfrm>
      </xdr:grpSpPr>
      <xdr:sp macro="" textlink="">
        <xdr:nvSpPr>
          <xdr:cNvPr id="6" name="Fluxograma: Processo Alternativo 5">
            <a:extLst>
              <a:ext uri="{FF2B5EF4-FFF2-40B4-BE49-F238E27FC236}">
                <a16:creationId xmlns:a16="http://schemas.microsoft.com/office/drawing/2014/main" id="{4C08B89B-8935-4C63-B0B6-3B52B99EE001}"/>
              </a:ext>
            </a:extLst>
          </xdr:cNvPr>
          <xdr:cNvSpPr/>
        </xdr:nvSpPr>
        <xdr:spPr>
          <a:xfrm>
            <a:off x="2482971" y="4102632"/>
            <a:ext cx="10584201" cy="3518946"/>
          </a:xfrm>
          <a:prstGeom prst="flowChartAlternateProcess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E516AB32-F7A3-4527-9EE7-31A6F741E0FB}"/>
              </a:ext>
            </a:extLst>
          </xdr:cNvPr>
          <xdr:cNvGraphicFramePr>
            <a:graphicFrameLocks/>
          </xdr:cNvGraphicFramePr>
        </xdr:nvGraphicFramePr>
        <xdr:xfrm>
          <a:off x="2928622" y="4265672"/>
          <a:ext cx="9723286" cy="313036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45" name="Retângulo: Cantos Superiores Arredondados 44">
            <a:extLst>
              <a:ext uri="{FF2B5EF4-FFF2-40B4-BE49-F238E27FC236}">
                <a16:creationId xmlns:a16="http://schemas.microsoft.com/office/drawing/2014/main" id="{C7F6C685-F7DB-4EA0-BEE1-04509C48759F}"/>
              </a:ext>
            </a:extLst>
          </xdr:cNvPr>
          <xdr:cNvSpPr/>
        </xdr:nvSpPr>
        <xdr:spPr>
          <a:xfrm>
            <a:off x="2483510" y="4059507"/>
            <a:ext cx="10583662" cy="605410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800" b="1"/>
              <a:t>TOTAL SUBSCRIPTIONS</a:t>
            </a:r>
            <a:r>
              <a:rPr lang="pt-BR" sz="1800" b="1" baseline="0"/>
              <a:t> XBOX GAME PASS</a:t>
            </a:r>
            <a:endParaRPr lang="pt-BR" sz="1800" b="1"/>
          </a:p>
        </xdr:txBody>
      </xdr:sp>
    </xdr:grpSp>
    <xdr:clientData/>
  </xdr:twoCellAnchor>
  <xdr:twoCellAnchor editAs="absolute">
    <xdr:from>
      <xdr:col>9</xdr:col>
      <xdr:colOff>413844</xdr:colOff>
      <xdr:row>6</xdr:row>
      <xdr:rowOff>40822</xdr:rowOff>
    </xdr:from>
    <xdr:to>
      <xdr:col>17</xdr:col>
      <xdr:colOff>297656</xdr:colOff>
      <xdr:row>16</xdr:row>
      <xdr:rowOff>90060</xdr:rowOff>
    </xdr:to>
    <xdr:grpSp>
      <xdr:nvGrpSpPr>
        <xdr:cNvPr id="49" name="Agrupar 48">
          <a:extLst>
            <a:ext uri="{FF2B5EF4-FFF2-40B4-BE49-F238E27FC236}">
              <a16:creationId xmlns:a16="http://schemas.microsoft.com/office/drawing/2014/main" id="{FD96B29A-1061-41D1-ADC2-C4300B13EA58}"/>
            </a:ext>
          </a:extLst>
        </xdr:cNvPr>
        <xdr:cNvGrpSpPr/>
      </xdr:nvGrpSpPr>
      <xdr:grpSpPr>
        <a:xfrm>
          <a:off x="7888168" y="1620851"/>
          <a:ext cx="5172988" cy="2077503"/>
          <a:chOff x="7882758" y="1623943"/>
          <a:chExt cx="5171829" cy="2125031"/>
        </a:xfrm>
      </xdr:grpSpPr>
      <xdr:sp macro="" textlink="">
        <xdr:nvSpPr>
          <xdr:cNvPr id="23" name="Retângulo 22">
            <a:extLst>
              <a:ext uri="{FF2B5EF4-FFF2-40B4-BE49-F238E27FC236}">
                <a16:creationId xmlns:a16="http://schemas.microsoft.com/office/drawing/2014/main" id="{E700AB41-F50B-4CC9-9F0E-D665B424A36B}"/>
              </a:ext>
            </a:extLst>
          </xdr:cNvPr>
          <xdr:cNvSpPr/>
        </xdr:nvSpPr>
        <xdr:spPr>
          <a:xfrm>
            <a:off x="7885632" y="1732803"/>
            <a:ext cx="5168955" cy="2016171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6">
        <xdr:nvSpPr>
          <xdr:cNvPr id="21" name="Fluxograma: Processo Alternativo 20">
            <a:extLst>
              <a:ext uri="{FF2B5EF4-FFF2-40B4-BE49-F238E27FC236}">
                <a16:creationId xmlns:a16="http://schemas.microsoft.com/office/drawing/2014/main" id="{F888B7D7-1D86-47B2-AB3D-FCB8D4FD31C6}"/>
              </a:ext>
            </a:extLst>
          </xdr:cNvPr>
          <xdr:cNvSpPr/>
        </xdr:nvSpPr>
        <xdr:spPr>
          <a:xfrm>
            <a:off x="10095608" y="2634298"/>
            <a:ext cx="2830896" cy="695453"/>
          </a:xfrm>
          <a:prstGeom prst="flowChartAlternateProcess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fld id="{D68E1075-6F06-45CC-B609-BF652869AA6A}" type="TxLink">
              <a:rPr lang="en-US" sz="3600" b="1" i="0" u="none" strike="noStrike">
                <a:solidFill>
                  <a:srgbClr val="5BF6A8"/>
                </a:solidFill>
                <a:latin typeface="Aptos Narrow"/>
                <a:ea typeface="+mn-ea"/>
                <a:cs typeface="+mn-cs"/>
              </a:rPr>
              <a:pPr marL="0" indent="0" algn="ctr"/>
              <a:t>R$ 1.140,00</a:t>
            </a:fld>
            <a:endParaRPr lang="en-US" sz="3600" b="1" i="0" u="none" strike="noStrike">
              <a:solidFill>
                <a:srgbClr val="5BF6A8"/>
              </a:solidFill>
              <a:latin typeface="Aptos Narrow"/>
              <a:ea typeface="+mn-ea"/>
              <a:cs typeface="+mn-cs"/>
            </a:endParaRPr>
          </a:p>
        </xdr:txBody>
      </xdr:sp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173BF669-D182-4D13-8EB8-AF513849C238}"/>
              </a:ext>
            </a:extLst>
          </xdr:cNvPr>
          <xdr:cNvGrpSpPr/>
        </xdr:nvGrpSpPr>
        <xdr:grpSpPr>
          <a:xfrm>
            <a:off x="8144152" y="2610466"/>
            <a:ext cx="1782367" cy="652667"/>
            <a:chOff x="3495675" y="5400674"/>
            <a:chExt cx="1549476" cy="752476"/>
          </a:xfrm>
        </xdr:grpSpPr>
        <xdr:pic>
          <xdr:nvPicPr>
            <xdr:cNvPr id="27" name="Imagem 26">
              <a:extLst>
                <a:ext uri="{FF2B5EF4-FFF2-40B4-BE49-F238E27FC236}">
                  <a16:creationId xmlns:a16="http://schemas.microsoft.com/office/drawing/2014/main" id="{A74D9553-4F3D-4B80-A23C-10D3DC42A77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8" name="Gráfico 27">
              <a:extLst>
                <a:ext uri="{FF2B5EF4-FFF2-40B4-BE49-F238E27FC236}">
                  <a16:creationId xmlns:a16="http://schemas.microsoft.com/office/drawing/2014/main" id="{DF8B0C3D-8BFD-42B4-8249-90C8A8EE0FF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  <xdr:sp macro="" textlink="">
        <xdr:nvSpPr>
          <xdr:cNvPr id="47" name="Retângulo: Cantos Superiores Arredondados 46">
            <a:extLst>
              <a:ext uri="{FF2B5EF4-FFF2-40B4-BE49-F238E27FC236}">
                <a16:creationId xmlns:a16="http://schemas.microsoft.com/office/drawing/2014/main" id="{85981253-D1BD-49C8-8B02-9940ED71DBA4}"/>
              </a:ext>
            </a:extLst>
          </xdr:cNvPr>
          <xdr:cNvSpPr/>
        </xdr:nvSpPr>
        <xdr:spPr>
          <a:xfrm>
            <a:off x="7882758" y="1623943"/>
            <a:ext cx="5169775" cy="603836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 eaLnBrk="1" fontAlgn="auto" latinLnBrk="0" hangingPunct="1"/>
            <a:r>
              <a:rPr lang="en-US" sz="18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TOTAL</a:t>
            </a:r>
            <a:r>
              <a:rPr lang="en-US" sz="1100" b="1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8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SUBSCRIPTIONS</a:t>
            </a:r>
            <a:r>
              <a:rPr lang="en-US" sz="1100" b="1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8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MINECRAFT</a:t>
            </a:r>
            <a:r>
              <a:rPr lang="en-US" sz="1100" b="1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8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SEASON</a:t>
            </a:r>
            <a:r>
              <a:rPr lang="en-US" sz="1100" b="1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8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PASS</a:t>
            </a:r>
            <a:endParaRPr lang="pt-BR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 editAs="absolute">
    <xdr:from>
      <xdr:col>1</xdr:col>
      <xdr:colOff>313404</xdr:colOff>
      <xdr:row>6</xdr:row>
      <xdr:rowOff>40822</xdr:rowOff>
    </xdr:from>
    <xdr:to>
      <xdr:col>9</xdr:col>
      <xdr:colOff>236483</xdr:colOff>
      <xdr:row>16</xdr:row>
      <xdr:rowOff>90060</xdr:rowOff>
    </xdr:to>
    <xdr:grpSp>
      <xdr:nvGrpSpPr>
        <xdr:cNvPr id="50" name="Agrupar 49">
          <a:extLst>
            <a:ext uri="{FF2B5EF4-FFF2-40B4-BE49-F238E27FC236}">
              <a16:creationId xmlns:a16="http://schemas.microsoft.com/office/drawing/2014/main" id="{8CD3959C-1C04-4B36-A666-6403010C4D7B}"/>
            </a:ext>
          </a:extLst>
        </xdr:cNvPr>
        <xdr:cNvGrpSpPr/>
      </xdr:nvGrpSpPr>
      <xdr:grpSpPr>
        <a:xfrm>
          <a:off x="2520963" y="1620851"/>
          <a:ext cx="5189844" cy="2077503"/>
          <a:chOff x="2522589" y="1620128"/>
          <a:chExt cx="5195628" cy="2098650"/>
        </a:xfrm>
      </xdr:grpSpPr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4E8E17DB-D971-4F8A-88D1-4136F7D22064}"/>
              </a:ext>
            </a:extLst>
          </xdr:cNvPr>
          <xdr:cNvSpPr/>
        </xdr:nvSpPr>
        <xdr:spPr>
          <a:xfrm>
            <a:off x="2524103" y="1728988"/>
            <a:ext cx="5189206" cy="198979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5">
        <xdr:nvSpPr>
          <xdr:cNvPr id="9" name="Fluxograma: Processo Alternativo 8">
            <a:extLst>
              <a:ext uri="{FF2B5EF4-FFF2-40B4-BE49-F238E27FC236}">
                <a16:creationId xmlns:a16="http://schemas.microsoft.com/office/drawing/2014/main" id="{A4664D25-E18A-4104-9217-BFEBB21AD76E}"/>
              </a:ext>
            </a:extLst>
          </xdr:cNvPr>
          <xdr:cNvSpPr/>
        </xdr:nvSpPr>
        <xdr:spPr>
          <a:xfrm>
            <a:off x="4607105" y="2619994"/>
            <a:ext cx="2843606" cy="684858"/>
          </a:xfrm>
          <a:prstGeom prst="flowChartAlternateProcess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8954AA5A-C951-4065-A07D-7E61B2333313}" type="TxLink">
              <a:rPr lang="en-US" sz="3600" b="1" i="0" u="none" strike="noStrike">
                <a:solidFill>
                  <a:srgbClr val="5BF6A8"/>
                </a:solidFill>
                <a:latin typeface="Aptos Narrow"/>
              </a:rPr>
              <a:pPr algn="ctr"/>
              <a:t>R$ 990,00</a:t>
            </a:fld>
            <a:endParaRPr lang="en-US" sz="3600" b="1">
              <a:solidFill>
                <a:srgbClr val="5BF6A8"/>
              </a:solidFill>
            </a:endParaRPr>
          </a:p>
        </xdr:txBody>
      </xdr:sp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DFE32DCD-6DD2-4235-867B-2ED75FD82DB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6667" b="23809"/>
          <a:stretch/>
        </xdr:blipFill>
        <xdr:spPr>
          <a:xfrm>
            <a:off x="2735969" y="2596162"/>
            <a:ext cx="1599831" cy="732522"/>
          </a:xfrm>
          <a:prstGeom prst="rect">
            <a:avLst/>
          </a:prstGeom>
        </xdr:spPr>
      </xdr:pic>
      <xdr:sp macro="" textlink="">
        <xdr:nvSpPr>
          <xdr:cNvPr id="48" name="Retângulo: Cantos Superiores Arredondados 47">
            <a:extLst>
              <a:ext uri="{FF2B5EF4-FFF2-40B4-BE49-F238E27FC236}">
                <a16:creationId xmlns:a16="http://schemas.microsoft.com/office/drawing/2014/main" id="{8D11CFFA-B706-4806-AAD5-B37E438363EC}"/>
              </a:ext>
            </a:extLst>
          </xdr:cNvPr>
          <xdr:cNvSpPr/>
        </xdr:nvSpPr>
        <xdr:spPr>
          <a:xfrm>
            <a:off x="2522589" y="1620128"/>
            <a:ext cx="5195628" cy="614129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 eaLnBrk="1" fontAlgn="auto" latinLnBrk="0" hangingPunct="1"/>
            <a:r>
              <a:rPr lang="en-US" sz="18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TOTAL SUBSCRIPTIONS EA PLAY SEASON PASS</a:t>
            </a:r>
            <a:endParaRPr lang="pt-BR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ipe Daryl" refreshedDate="46063.963034722219" createdVersion="7" refreshedVersion="7" minRefreshableVersion="3" recordCount="295" xr:uid="{37EA8D60-E6CD-41AE-8554-71C86F19FCB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8415141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  <r>
    <n v="3524"/>
    <x v="278"/>
    <x v="2"/>
    <d v="2024-12-15T00:00:00"/>
    <x v="0"/>
    <n v="10"/>
    <x v="1"/>
    <x v="1"/>
    <x v="1"/>
    <s v="Yes"/>
    <n v="20"/>
    <n v="15"/>
    <n v="15"/>
  </r>
  <r>
    <n v="3525"/>
    <x v="279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86A5D-6751-45A9-A09B-BAC3F1BB754B}" name="Tabela dinâ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18937-3390-4C10-BF80-E695B42B5F5D}" name="tbl_ea_seasonPass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FA2425-4F6D-4AB9-9A50-017C9F225850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1D65588-1550-49C0-A943-466D331D1560}" sourceName="Subscription Type">
  <pivotTables>
    <pivotTable tabId="3" name="Tabela dinâmica1"/>
    <pivotTable tabId="3" name="tbl_ea_seasonPass_total"/>
    <pivotTable tabId="3" name="Tabela dinâmica3"/>
  </pivotTables>
  <data>
    <tabular pivotCacheId="184151419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C951434-15B2-4311-8141-E6416260186D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31"/>
  <sheetViews>
    <sheetView showGridLines="0" zoomScaleNormal="100" workbookViewId="0">
      <selection activeCell="F5" sqref="B5:F8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  <row r="31" spans="2:8">
      <c r="D31" t="s">
        <v>313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sqref="A1:M294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I36"/>
  <sheetViews>
    <sheetView workbookViewId="0">
      <selection activeCell="B28" sqref="B28"/>
    </sheetView>
  </sheetViews>
  <sheetFormatPr defaultRowHeight="14.25"/>
  <cols>
    <col min="1" max="1" width="8" customWidth="1"/>
    <col min="2" max="2" width="18" bestFit="1" customWidth="1"/>
    <col min="3" max="3" width="35.125" bestFit="1" customWidth="1"/>
    <col min="4" max="6" width="10.75" bestFit="1" customWidth="1"/>
    <col min="7" max="7" width="5.375" customWidth="1"/>
    <col min="8" max="8" width="21.125" bestFit="1" customWidth="1"/>
    <col min="9" max="10" width="35.125" bestFit="1" customWidth="1"/>
    <col min="11" max="14" width="9.75" bestFit="1" customWidth="1"/>
    <col min="15" max="15" width="15.625" bestFit="1" customWidth="1"/>
    <col min="16" max="16" width="12.125" bestFit="1" customWidth="1"/>
  </cols>
  <sheetData>
    <row r="3" spans="2:9">
      <c r="B3" s="21" t="s">
        <v>318</v>
      </c>
      <c r="C3" s="21"/>
      <c r="D3" s="21"/>
      <c r="E3" s="21"/>
      <c r="F3" s="21"/>
      <c r="G3" s="21"/>
      <c r="H3" s="21"/>
      <c r="I3" s="21"/>
    </row>
    <row r="6" spans="2:9" ht="15">
      <c r="B6" t="s">
        <v>314</v>
      </c>
    </row>
    <row r="7" spans="2:9" ht="15">
      <c r="B7" t="s">
        <v>320</v>
      </c>
    </row>
    <row r="9" spans="2:9">
      <c r="B9" s="12" t="s">
        <v>16</v>
      </c>
      <c r="C9" t="s">
        <v>27</v>
      </c>
    </row>
    <row r="11" spans="2:9">
      <c r="B11" s="12" t="s">
        <v>315</v>
      </c>
      <c r="C11" t="s">
        <v>317</v>
      </c>
    </row>
    <row r="12" spans="2:9">
      <c r="B12" s="13" t="s">
        <v>23</v>
      </c>
      <c r="C12" s="14">
        <v>806</v>
      </c>
    </row>
    <row r="13" spans="2:9">
      <c r="B13" s="13" t="s">
        <v>19</v>
      </c>
      <c r="C13" s="14">
        <v>1502</v>
      </c>
    </row>
    <row r="14" spans="2:9">
      <c r="B14" s="13" t="s">
        <v>316</v>
      </c>
      <c r="C14" s="14">
        <v>2308</v>
      </c>
    </row>
    <row r="17" spans="2:5">
      <c r="B17" t="s">
        <v>322</v>
      </c>
    </row>
    <row r="19" spans="2:5">
      <c r="B19" s="12" t="s">
        <v>16</v>
      </c>
      <c r="C19" t="s">
        <v>27</v>
      </c>
    </row>
    <row r="21" spans="2:5">
      <c r="B21" s="12" t="s">
        <v>315</v>
      </c>
      <c r="C21" t="s">
        <v>321</v>
      </c>
    </row>
    <row r="22" spans="2:5">
      <c r="B22" s="13" t="s">
        <v>22</v>
      </c>
      <c r="C22" s="14">
        <v>0</v>
      </c>
    </row>
    <row r="23" spans="2:5">
      <c r="B23" s="13" t="s">
        <v>26</v>
      </c>
      <c r="C23" s="14">
        <v>0</v>
      </c>
    </row>
    <row r="24" spans="2:5">
      <c r="B24" s="13" t="s">
        <v>18</v>
      </c>
      <c r="C24" s="14">
        <v>990</v>
      </c>
    </row>
    <row r="25" spans="2:5">
      <c r="B25" s="13" t="s">
        <v>316</v>
      </c>
      <c r="C25" s="14">
        <v>990</v>
      </c>
      <c r="E25" s="16">
        <f>GETPIVOTDATA("EA Play Season Pass
Price",$B$21)</f>
        <v>990</v>
      </c>
    </row>
    <row r="28" spans="2:5">
      <c r="B28" t="s">
        <v>323</v>
      </c>
    </row>
    <row r="30" spans="2:5">
      <c r="B30" s="12" t="s">
        <v>16</v>
      </c>
      <c r="C30" t="s">
        <v>27</v>
      </c>
    </row>
    <row r="32" spans="2:5">
      <c r="B32" s="12" t="s">
        <v>315</v>
      </c>
      <c r="C32" t="s">
        <v>324</v>
      </c>
    </row>
    <row r="33" spans="2:5">
      <c r="B33" s="13" t="s">
        <v>22</v>
      </c>
      <c r="C33" s="14">
        <v>0</v>
      </c>
    </row>
    <row r="34" spans="2:5">
      <c r="B34" s="13" t="s">
        <v>26</v>
      </c>
      <c r="C34" s="14">
        <v>480</v>
      </c>
    </row>
    <row r="35" spans="2:5">
      <c r="B35" s="13" t="s">
        <v>18</v>
      </c>
      <c r="C35" s="14">
        <v>660</v>
      </c>
    </row>
    <row r="36" spans="2:5">
      <c r="B36" s="13" t="s">
        <v>316</v>
      </c>
      <c r="C36" s="14">
        <v>1140</v>
      </c>
      <c r="E36" s="16">
        <f>GETPIVOTDATA("Minecraft Season Pass Price",$B$32)</f>
        <v>1140</v>
      </c>
    </row>
  </sheetData>
  <mergeCells count="1">
    <mergeCell ref="B3:I3"/>
  </mergeCells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BJ167"/>
  <sheetViews>
    <sheetView showGridLines="0" showRowColHeaders="0" tabSelected="1" zoomScale="85" zoomScaleNormal="85" workbookViewId="0">
      <selection activeCell="C5" sqref="C5"/>
    </sheetView>
  </sheetViews>
  <sheetFormatPr defaultRowHeight="14.25"/>
  <cols>
    <col min="1" max="1" width="29" style="5" customWidth="1"/>
    <col min="2" max="2" width="11.625" style="7" customWidth="1"/>
    <col min="3" max="3" width="3.625" customWidth="1"/>
    <col min="12" max="12" width="6.625" customWidth="1"/>
    <col min="18" max="18" width="4" customWidth="1"/>
  </cols>
  <sheetData>
    <row r="1" spans="1:62">
      <c r="B1" s="15"/>
    </row>
    <row r="2" spans="1:62" ht="39" customHeight="1" thickBot="1">
      <c r="B2" s="15"/>
      <c r="C2" s="22" t="s">
        <v>319</v>
      </c>
      <c r="D2" s="22"/>
      <c r="E2" s="22"/>
      <c r="F2" s="22"/>
      <c r="G2" s="22"/>
      <c r="H2" s="22"/>
      <c r="I2" s="22"/>
      <c r="J2" s="22"/>
      <c r="K2" s="17"/>
      <c r="L2" s="17"/>
      <c r="M2" s="17"/>
      <c r="N2" s="17"/>
      <c r="O2" s="17"/>
      <c r="P2" s="17"/>
      <c r="Q2" s="17"/>
      <c r="R2" s="17"/>
      <c r="S2" s="19"/>
      <c r="T2" s="19"/>
    </row>
    <row r="3" spans="1:62" ht="39.75" customHeight="1" thickTop="1">
      <c r="B3" s="15"/>
    </row>
    <row r="4" spans="1:62" ht="7.5" hidden="1" customHeight="1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</row>
    <row r="5" spans="1:62" ht="21.75" customHeight="1">
      <c r="A5" s="18" t="s">
        <v>325</v>
      </c>
      <c r="C5" s="20" t="s">
        <v>326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2" ht="9.75" customHeight="1"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</row>
    <row r="7" spans="1:62" ht="33" customHeight="1"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2"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</row>
    <row r="9" spans="1:62"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</row>
    <row r="10" spans="1:62"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</row>
    <row r="11" spans="1:62"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</row>
    <row r="12" spans="1:62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</row>
    <row r="13" spans="1:62"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</row>
    <row r="14" spans="1:62"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</row>
    <row r="15" spans="1:62"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</row>
    <row r="16" spans="1:62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</row>
    <row r="17" spans="3:62"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</row>
    <row r="18" spans="3:62"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</row>
    <row r="19" spans="3:62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</row>
    <row r="20" spans="3:62"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</row>
    <row r="21" spans="3:62"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</row>
    <row r="22" spans="3:62"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</row>
    <row r="23" spans="3:62"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</row>
    <row r="24" spans="3:62"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</row>
    <row r="25" spans="3:62"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</row>
    <row r="26" spans="3:62"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</row>
    <row r="27" spans="3:62"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</row>
    <row r="28" spans="3:62"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spans="3:62"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spans="3:62"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</row>
    <row r="31" spans="3:62"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</row>
    <row r="32" spans="3:62"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</row>
    <row r="33" spans="3:62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</row>
    <row r="34" spans="3:62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</row>
    <row r="35" spans="3:62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</row>
    <row r="36" spans="3:62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</row>
    <row r="37" spans="3:62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</row>
    <row r="38" spans="3:62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</row>
    <row r="39" spans="3:62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</row>
    <row r="40" spans="3:62"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</row>
    <row r="41" spans="3:62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</row>
    <row r="42" spans="3:62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</row>
    <row r="43" spans="3:62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</row>
    <row r="44" spans="3:62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</row>
    <row r="45" spans="3:62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</row>
    <row r="46" spans="3:62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</row>
    <row r="47" spans="3:62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</row>
    <row r="48" spans="3:62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</row>
    <row r="49" spans="3:62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</row>
    <row r="50" spans="3:62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</row>
    <row r="51" spans="3:62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</row>
    <row r="52" spans="3:62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</row>
    <row r="53" spans="3:62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</row>
    <row r="54" spans="3:62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</row>
    <row r="55" spans="3:62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</row>
    <row r="56" spans="3:62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</row>
    <row r="57" spans="3:62"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</row>
    <row r="58" spans="3:62"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</row>
    <row r="59" spans="3:62"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</row>
    <row r="60" spans="3:62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</row>
    <row r="61" spans="3:62"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</row>
    <row r="62" spans="3:62"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</row>
    <row r="63" spans="3:62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</row>
    <row r="64" spans="3:62"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</row>
    <row r="65" spans="3:62"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</row>
    <row r="66" spans="3:62"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</row>
    <row r="67" spans="3:62"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</row>
    <row r="68" spans="3:62"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</row>
    <row r="69" spans="3:62"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</row>
    <row r="70" spans="3:62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</row>
    <row r="71" spans="3:62"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</row>
    <row r="72" spans="3:62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</row>
    <row r="73" spans="3:62"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</row>
    <row r="74" spans="3:62"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</row>
    <row r="75" spans="3:62"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</row>
    <row r="76" spans="3:62"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</row>
    <row r="77" spans="3:62"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</row>
    <row r="78" spans="3:62"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</row>
    <row r="79" spans="3:62"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</row>
    <row r="80" spans="3:62"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</row>
    <row r="81" spans="3:62"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</row>
    <row r="82" spans="3:62"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</row>
    <row r="83" spans="3:62"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</row>
    <row r="84" spans="3:62"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</row>
    <row r="85" spans="3:62"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</row>
    <row r="86" spans="3:62"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</row>
    <row r="87" spans="3:62"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</row>
    <row r="88" spans="3:62"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</row>
    <row r="89" spans="3:62"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</row>
    <row r="90" spans="3:62"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</row>
    <row r="91" spans="3:62"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</row>
    <row r="92" spans="3:62"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</row>
    <row r="93" spans="3:62"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</row>
    <row r="94" spans="3:62"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</row>
    <row r="95" spans="3:62"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</row>
    <row r="96" spans="3:62"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</row>
    <row r="97" spans="3:62"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</row>
    <row r="98" spans="3:62"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</row>
    <row r="99" spans="3:62"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</row>
    <row r="100" spans="3:62"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</row>
    <row r="101" spans="3:62"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</row>
    <row r="102" spans="3:62"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</row>
    <row r="103" spans="3:62"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</row>
    <row r="104" spans="3:62"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</row>
    <row r="105" spans="3:62"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</row>
    <row r="106" spans="3:62"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</row>
    <row r="107" spans="3:62"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</row>
    <row r="108" spans="3:62"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</row>
    <row r="109" spans="3:62"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</row>
    <row r="110" spans="3:62"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</row>
    <row r="111" spans="3:62"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</row>
    <row r="112" spans="3:62"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</row>
    <row r="113" spans="3:62"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</row>
    <row r="114" spans="3:62"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</row>
    <row r="115" spans="3:62"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</row>
    <row r="116" spans="3:62"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</row>
    <row r="117" spans="3:62"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</row>
    <row r="118" spans="3:62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</row>
    <row r="119" spans="3:62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</row>
    <row r="120" spans="3:62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</row>
    <row r="121" spans="3:62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</row>
    <row r="122" spans="3:62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</row>
    <row r="123" spans="3:62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</row>
    <row r="124" spans="3:62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</row>
    <row r="125" spans="3:62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</row>
    <row r="126" spans="3:62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</row>
    <row r="127" spans="3:62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</row>
    <row r="128" spans="3:62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</row>
    <row r="129" spans="3:62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</row>
    <row r="130" spans="3:62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</row>
    <row r="131" spans="3:62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</row>
    <row r="132" spans="3:62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</row>
    <row r="133" spans="3:62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</row>
    <row r="134" spans="3:62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</row>
    <row r="135" spans="3:62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</row>
    <row r="136" spans="3:62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</row>
    <row r="137" spans="3:62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</row>
    <row r="138" spans="3:62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</row>
    <row r="139" spans="3:62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</row>
    <row r="140" spans="3:62"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</row>
    <row r="141" spans="3:62"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</row>
    <row r="142" spans="3:62"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</row>
    <row r="143" spans="3:62"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</row>
    <row r="144" spans="3:62"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</row>
    <row r="145" spans="3:62"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</row>
    <row r="146" spans="3:62"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</row>
    <row r="147" spans="3:62"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</row>
    <row r="148" spans="3:62"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</row>
    <row r="149" spans="3:62"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</row>
    <row r="150" spans="3:62"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</row>
    <row r="151" spans="3:62"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</row>
    <row r="152" spans="3:62"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</row>
    <row r="153" spans="3:62"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</row>
    <row r="154" spans="3:62"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</row>
    <row r="155" spans="3:62"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</row>
    <row r="156" spans="3:62"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</row>
    <row r="157" spans="3:62"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</row>
    <row r="158" spans="3:62"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</row>
    <row r="159" spans="3:62"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</row>
    <row r="160" spans="3:62"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</row>
    <row r="161" spans="3:62"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</row>
    <row r="162" spans="3:62"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</row>
    <row r="163" spans="3:62"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</row>
    <row r="164" spans="3:62"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</row>
    <row r="165" spans="3:62"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</row>
    <row r="166" spans="3:62"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</row>
    <row r="167" spans="3:62"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</row>
  </sheetData>
  <sheetProtection sheet="1" objects="1" scenarios="1" selectLockedCells="1"/>
  <mergeCells count="1">
    <mergeCell ref="C2:J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Philipe</cp:lastModifiedBy>
  <dcterms:created xsi:type="dcterms:W3CDTF">2024-12-19T13:13:10Z</dcterms:created>
  <dcterms:modified xsi:type="dcterms:W3CDTF">2026-02-12T04:11:24Z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